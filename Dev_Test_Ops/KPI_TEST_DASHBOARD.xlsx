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f3ffb3eb6d6f3d09/Projects_dev/Dev_Test_Ops/"/>
    </mc:Choice>
  </mc:AlternateContent>
  <xr:revisionPtr revIDLastSave="57" documentId="11_F25DC773A252ABDACC1048BDC11F63425BDE58E3" xr6:coauthVersionLast="47" xr6:coauthVersionMax="47" xr10:uidLastSave="{F811CFA8-BC92-4238-8780-C097EFADC618}"/>
  <bookViews>
    <workbookView xWindow="1553" yWindow="1770" windowWidth="19297" windowHeight="10522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9" i="1" l="1"/>
  <c r="I19" i="1"/>
  <c r="I18" i="1"/>
  <c r="H18" i="1"/>
  <c r="I17" i="1"/>
  <c r="H17" i="1"/>
  <c r="I16" i="1"/>
  <c r="H16" i="1"/>
  <c r="I15" i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  <c r="I3" i="1"/>
  <c r="H3" i="1"/>
</calcChain>
</file>

<file path=xl/sharedStrings.xml><?xml version="1.0" encoding="utf-8"?>
<sst xmlns="http://schemas.openxmlformats.org/spreadsheetml/2006/main" count="77" uniqueCount="43">
  <si>
    <t>Category</t>
  </si>
  <si>
    <t>KPI</t>
  </si>
  <si>
    <t>Target (Display)</t>
  </si>
  <si>
    <t>Target Value</t>
  </si>
  <si>
    <t>Condition</t>
  </si>
  <si>
    <t>Actual</t>
  </si>
  <si>
    <t>Score (%)</t>
  </si>
  <si>
    <t>Status</t>
  </si>
  <si>
    <t>Notes</t>
  </si>
  <si>
    <t>Project Delivery</t>
  </si>
  <si>
    <t>Assigned project tasks completed by milestone deadlines</t>
  </si>
  <si>
    <t>100%</t>
  </si>
  <si>
    <t>&gt;=</t>
  </si>
  <si>
    <t>Weekly project update submitted by end of week</t>
  </si>
  <si>
    <t>Project hardware/software inventory updates logged within 24 hrs</t>
  </si>
  <si>
    <t>Efficiency improvements/automation suggestions implemented per month</t>
  </si>
  <si>
    <t>≥ 2</t>
  </si>
  <si>
    <t>Support Performance</t>
  </si>
  <si>
    <t>Support tickets responded to within SLA</t>
  </si>
  <si>
    <t>≥ 95%</t>
  </si>
  <si>
    <t>CSAT rating (post-ticket)</t>
  </si>
  <si>
    <t>≥ 4.5/5</t>
  </si>
  <si>
    <t>Tickets resolved within SLA timelines</t>
  </si>
  <si>
    <t>≥ 90%</t>
  </si>
  <si>
    <t>Tickets documented with full details</t>
  </si>
  <si>
    <t>Ticket reopen rate due to incomplete resolution</t>
  </si>
  <si>
    <t>≤ 3%</t>
  </si>
  <si>
    <t>&lt;=</t>
  </si>
  <si>
    <t>First-call resolution rate</t>
  </si>
  <si>
    <t>≥ 80%</t>
  </si>
  <si>
    <t>Ticket rework/misdiagnosis rate</t>
  </si>
  <si>
    <t>≤ 5%</t>
  </si>
  <si>
    <t>Asset Management</t>
  </si>
  <si>
    <t>New laptops deployed within 5 business days</t>
  </si>
  <si>
    <t>Asset update report accuracy (biweekly)</t>
  </si>
  <si>
    <t>Technology &amp; Advisory</t>
  </si>
  <si>
    <t>Technology impact advisory/recommendations submitted</t>
  </si>
  <si>
    <t>≥ 1/month</t>
  </si>
  <si>
    <t>Compliance &amp; Reporting</t>
  </si>
  <si>
    <t>Compliance with IT documentation &amp; audit requirements</t>
  </si>
  <si>
    <t>Compliance &amp; operational reports submitted on time (monthly)</t>
  </si>
  <si>
    <t>AI Adaption</t>
  </si>
  <si>
    <t>AI Tools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</si>
</sst>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</cellXfs>
  <cellStyles count="1">
    <cellStyle name="Normal" xfId="0" builtinId="0"/>
  </cellStyles>
  <dxfs count="2"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19"/>
  <sheetViews>
    <sheetView tabSelected="1" workbookViewId="0">
      <selection activeCell="G20" sqref="G20"/>
    </sheetView>
  </sheetViews>
  <sheetFormatPr defaultRowHeight="14.25" x14ac:dyDescent="0.45"/>
  <cols>
    <col min="2" max="2" width="20" bestFit="1" customWidth="1"/>
    <col min="3" max="3" width="60" bestFit="1" customWidth="1"/>
    <col min="5" max="5" width="10.9296875" bestFit="1" customWidth="1"/>
  </cols>
  <sheetData>
    <row r="2" spans="2:10" x14ac:dyDescent="0.4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</row>
    <row r="3" spans="2:10" x14ac:dyDescent="0.45">
      <c r="B3" t="s">
        <v>9</v>
      </c>
      <c r="C3" t="s">
        <v>10</v>
      </c>
      <c r="D3" s="2" t="s">
        <v>11</v>
      </c>
      <c r="E3" s="2">
        <v>100</v>
      </c>
      <c r="F3" t="s">
        <v>12</v>
      </c>
      <c r="G3" s="2">
        <v>99</v>
      </c>
      <c r="H3" s="2">
        <f t="shared" ref="H3:H18" si="0">IF(AND(ISNUMBER(G3),ISNUMBER(E3)),IF(E3&lt;&gt;0,(G3/E3)*100,""),"")</f>
        <v>99</v>
      </c>
      <c r="I3" t="str">
        <f t="shared" ref="I3:I18" si="1">IF(G3="","",IF(F3="&gt;=",IF(G3&gt;=E3,"Met","Not Met"),IF(F3="&lt;=",IF(G3&lt;=E3,"Met","Not Met"),IF(F3="=",IF(G3=E3,"Met","Not Met"),""))))</f>
        <v>Not Met</v>
      </c>
    </row>
    <row r="4" spans="2:10" x14ac:dyDescent="0.45">
      <c r="B4" t="s">
        <v>9</v>
      </c>
      <c r="C4" t="s">
        <v>13</v>
      </c>
      <c r="D4" s="2" t="s">
        <v>11</v>
      </c>
      <c r="E4" s="2">
        <v>100</v>
      </c>
      <c r="F4" t="s">
        <v>12</v>
      </c>
      <c r="G4" s="2">
        <v>10</v>
      </c>
      <c r="H4" s="2">
        <f t="shared" si="0"/>
        <v>10</v>
      </c>
      <c r="I4" t="str">
        <f t="shared" si="1"/>
        <v>Not Met</v>
      </c>
    </row>
    <row r="5" spans="2:10" x14ac:dyDescent="0.45">
      <c r="B5" t="s">
        <v>9</v>
      </c>
      <c r="C5" t="s">
        <v>14</v>
      </c>
      <c r="D5" s="2" t="s">
        <v>11</v>
      </c>
      <c r="E5" s="2">
        <v>100</v>
      </c>
      <c r="F5" t="s">
        <v>12</v>
      </c>
      <c r="G5" s="2">
        <v>10</v>
      </c>
      <c r="H5" s="2">
        <f t="shared" si="0"/>
        <v>10</v>
      </c>
      <c r="I5" t="str">
        <f t="shared" si="1"/>
        <v>Not Met</v>
      </c>
    </row>
    <row r="6" spans="2:10" x14ac:dyDescent="0.45">
      <c r="B6" t="s">
        <v>9</v>
      </c>
      <c r="C6" t="s">
        <v>15</v>
      </c>
      <c r="D6" s="2" t="s">
        <v>16</v>
      </c>
      <c r="E6" s="2">
        <v>2</v>
      </c>
      <c r="F6" t="s">
        <v>12</v>
      </c>
      <c r="G6" s="2">
        <v>25</v>
      </c>
      <c r="H6" s="2">
        <f t="shared" si="0"/>
        <v>1250</v>
      </c>
      <c r="I6" t="str">
        <f t="shared" si="1"/>
        <v>Met</v>
      </c>
    </row>
    <row r="7" spans="2:10" x14ac:dyDescent="0.45">
      <c r="B7" t="s">
        <v>17</v>
      </c>
      <c r="C7" t="s">
        <v>18</v>
      </c>
      <c r="D7" s="2" t="s">
        <v>19</v>
      </c>
      <c r="E7" s="2">
        <v>95</v>
      </c>
      <c r="F7" t="s">
        <v>12</v>
      </c>
      <c r="G7" s="2">
        <v>95</v>
      </c>
      <c r="H7" s="2">
        <f t="shared" si="0"/>
        <v>100</v>
      </c>
      <c r="I7" t="str">
        <f t="shared" si="1"/>
        <v>Met</v>
      </c>
    </row>
    <row r="8" spans="2:10" x14ac:dyDescent="0.45">
      <c r="B8" t="s">
        <v>17</v>
      </c>
      <c r="C8" t="s">
        <v>20</v>
      </c>
      <c r="D8" s="2" t="s">
        <v>21</v>
      </c>
      <c r="E8" s="2">
        <v>4.5</v>
      </c>
      <c r="F8" t="s">
        <v>12</v>
      </c>
      <c r="G8" s="2">
        <v>4</v>
      </c>
      <c r="H8" s="3">
        <f t="shared" si="0"/>
        <v>88.888888888888886</v>
      </c>
      <c r="I8" t="str">
        <f t="shared" si="1"/>
        <v>Not Met</v>
      </c>
    </row>
    <row r="9" spans="2:10" x14ac:dyDescent="0.45">
      <c r="B9" t="s">
        <v>17</v>
      </c>
      <c r="C9" t="s">
        <v>22</v>
      </c>
      <c r="D9" s="2" t="s">
        <v>23</v>
      </c>
      <c r="E9" s="2">
        <v>90</v>
      </c>
      <c r="F9" t="s">
        <v>12</v>
      </c>
      <c r="G9" s="2">
        <v>90</v>
      </c>
      <c r="H9" s="2">
        <f t="shared" si="0"/>
        <v>100</v>
      </c>
      <c r="I9" t="str">
        <f t="shared" si="1"/>
        <v>Met</v>
      </c>
    </row>
    <row r="10" spans="2:10" x14ac:dyDescent="0.45">
      <c r="B10" t="s">
        <v>17</v>
      </c>
      <c r="C10" t="s">
        <v>24</v>
      </c>
      <c r="D10" s="2" t="s">
        <v>11</v>
      </c>
      <c r="E10" s="2">
        <v>100</v>
      </c>
      <c r="F10" t="s">
        <v>12</v>
      </c>
      <c r="G10" s="2">
        <v>90</v>
      </c>
      <c r="H10" s="2">
        <f t="shared" si="0"/>
        <v>90</v>
      </c>
      <c r="I10" t="str">
        <f t="shared" si="1"/>
        <v>Not Met</v>
      </c>
    </row>
    <row r="11" spans="2:10" x14ac:dyDescent="0.45">
      <c r="B11" t="s">
        <v>17</v>
      </c>
      <c r="C11" t="s">
        <v>25</v>
      </c>
      <c r="D11" s="2" t="s">
        <v>26</v>
      </c>
      <c r="E11" s="2">
        <v>3</v>
      </c>
      <c r="F11" t="s">
        <v>27</v>
      </c>
      <c r="G11" s="2">
        <v>2</v>
      </c>
      <c r="H11" s="3">
        <f t="shared" si="0"/>
        <v>66.666666666666657</v>
      </c>
      <c r="I11" t="str">
        <f t="shared" si="1"/>
        <v>Met</v>
      </c>
    </row>
    <row r="12" spans="2:10" x14ac:dyDescent="0.45">
      <c r="B12" t="s">
        <v>17</v>
      </c>
      <c r="C12" t="s">
        <v>28</v>
      </c>
      <c r="D12" s="2" t="s">
        <v>29</v>
      </c>
      <c r="E12" s="2">
        <v>80</v>
      </c>
      <c r="F12" t="s">
        <v>12</v>
      </c>
      <c r="G12" s="2">
        <v>79</v>
      </c>
      <c r="H12" s="3">
        <f t="shared" si="0"/>
        <v>98.75</v>
      </c>
      <c r="I12" t="str">
        <f t="shared" si="1"/>
        <v>Not Met</v>
      </c>
    </row>
    <row r="13" spans="2:10" x14ac:dyDescent="0.45">
      <c r="B13" t="s">
        <v>17</v>
      </c>
      <c r="C13" t="s">
        <v>30</v>
      </c>
      <c r="D13" s="2" t="s">
        <v>31</v>
      </c>
      <c r="E13" s="2">
        <v>5</v>
      </c>
      <c r="F13" t="s">
        <v>27</v>
      </c>
      <c r="G13" s="2">
        <v>2</v>
      </c>
      <c r="H13" s="2">
        <f t="shared" si="0"/>
        <v>40</v>
      </c>
      <c r="I13" t="str">
        <f t="shared" si="1"/>
        <v>Met</v>
      </c>
    </row>
    <row r="14" spans="2:10" x14ac:dyDescent="0.45">
      <c r="B14" t="s">
        <v>32</v>
      </c>
      <c r="C14" t="s">
        <v>33</v>
      </c>
      <c r="D14" s="2" t="s">
        <v>11</v>
      </c>
      <c r="E14" s="2">
        <v>100</v>
      </c>
      <c r="F14" t="s">
        <v>12</v>
      </c>
      <c r="G14" s="2">
        <v>99</v>
      </c>
      <c r="H14" s="2">
        <f t="shared" si="0"/>
        <v>99</v>
      </c>
      <c r="I14" t="str">
        <f t="shared" si="1"/>
        <v>Not Met</v>
      </c>
    </row>
    <row r="15" spans="2:10" x14ac:dyDescent="0.45">
      <c r="B15" t="s">
        <v>32</v>
      </c>
      <c r="C15" t="s">
        <v>34</v>
      </c>
      <c r="D15" s="2" t="s">
        <v>11</v>
      </c>
      <c r="E15" s="2">
        <v>100</v>
      </c>
      <c r="F15" t="s">
        <v>12</v>
      </c>
      <c r="G15" s="2">
        <v>97</v>
      </c>
      <c r="H15" s="2">
        <f t="shared" si="0"/>
        <v>97</v>
      </c>
      <c r="I15" t="str">
        <f t="shared" si="1"/>
        <v>Not Met</v>
      </c>
    </row>
    <row r="16" spans="2:10" x14ac:dyDescent="0.45">
      <c r="B16" t="s">
        <v>35</v>
      </c>
      <c r="C16" t="s">
        <v>36</v>
      </c>
      <c r="D16" s="2" t="s">
        <v>37</v>
      </c>
      <c r="E16" s="2">
        <v>1</v>
      </c>
      <c r="F16" t="s">
        <v>12</v>
      </c>
      <c r="G16" s="2">
        <v>2</v>
      </c>
      <c r="H16" s="2">
        <f t="shared" si="0"/>
        <v>200</v>
      </c>
      <c r="I16" t="str">
        <f t="shared" si="1"/>
        <v>Met</v>
      </c>
    </row>
    <row r="17" spans="2:9" x14ac:dyDescent="0.45">
      <c r="B17" t="s">
        <v>38</v>
      </c>
      <c r="C17" t="s">
        <v>39</v>
      </c>
      <c r="D17" s="2" t="s">
        <v>11</v>
      </c>
      <c r="E17" s="2">
        <v>100</v>
      </c>
      <c r="F17" t="s">
        <v>12</v>
      </c>
      <c r="G17" s="2">
        <v>100</v>
      </c>
      <c r="H17" s="2">
        <f t="shared" si="0"/>
        <v>100</v>
      </c>
      <c r="I17" t="str">
        <f t="shared" si="1"/>
        <v>Met</v>
      </c>
    </row>
    <row r="18" spans="2:9" x14ac:dyDescent="0.45">
      <c r="B18" t="s">
        <v>38</v>
      </c>
      <c r="C18" t="s">
        <v>40</v>
      </c>
      <c r="D18" s="2" t="s">
        <v>11</v>
      </c>
      <c r="E18" s="2">
        <v>100</v>
      </c>
      <c r="F18" t="s">
        <v>12</v>
      </c>
      <c r="G18" s="2">
        <v>100</v>
      </c>
      <c r="H18" s="2">
        <f t="shared" si="0"/>
        <v>100</v>
      </c>
      <c r="I18" t="str">
        <f t="shared" si="1"/>
        <v>Met</v>
      </c>
    </row>
    <row r="19" spans="2:9" x14ac:dyDescent="0.45">
      <c r="B19" t="s">
        <v>41</v>
      </c>
      <c r="C19" t="s">
        <v>42</v>
      </c>
      <c r="D19" s="2" t="s">
        <v>11</v>
      </c>
      <c r="E19" s="2">
        <v>70</v>
      </c>
      <c r="F19" t="s">
        <v>12</v>
      </c>
      <c r="G19" s="2">
        <v>64</v>
      </c>
      <c r="H19" s="3">
        <f t="shared" ref="H19" si="2">IF(AND(ISNUMBER(G19),ISNUMBER(E19)),IF(E19&lt;&gt;0,(G19/E19)*100,""),"")</f>
        <v>91.428571428571431</v>
      </c>
      <c r="I19" t="str">
        <f t="shared" ref="I19" si="3">IF(G19="","",IF(F19="&gt;=",IF(G19&gt;=E19,"Met","Not Met"),IF(F19="&lt;=",IF(G19&lt;=E19,"Met","Not Met"),IF(F19="=",IF(G19=E19,"Met","Not Met"),""))))</f>
        <v>Not Met</v>
      </c>
    </row>
  </sheetData>
  <conditionalFormatting sqref="I3:I19">
    <cfRule type="expression" dxfId="1" priority="1">
      <formula>I3="Met"</formula>
    </cfRule>
    <cfRule type="expression" dxfId="0" priority="2">
      <formula>I3="Not Met"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Freddie Martinez</cp:lastModifiedBy>
  <dcterms:created xsi:type="dcterms:W3CDTF">2015-06-05T18:17:20Z</dcterms:created>
  <dcterms:modified xsi:type="dcterms:W3CDTF">2026-03-24T04:02:51Z</dcterms:modified>
</cp:coreProperties>
</file>